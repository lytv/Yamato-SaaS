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S2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VẮT LAI CỔ</t>
        </r>
      </text>
    </comment>
    <comment ref="S4" authorId="0">
      <text>
        <r>
          <rPr>
            <b/>
            <sz val="9"/>
            <rFont val="Tahoma"/>
            <charset val="134"/>
          </rPr>
          <t xml:space="preserve">Admin:
</t>
        </r>
        <r>
          <rPr>
            <sz val="9"/>
            <rFont val="Tahoma"/>
            <charset val="134"/>
          </rPr>
          <t xml:space="preserve">
VẮT LAI CỔ</t>
        </r>
      </text>
    </comment>
    <comment ref="S5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VẮT LAI CỔ</t>
        </r>
      </text>
    </comment>
    <comment ref="S6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MÍ CỔ</t>
        </r>
      </text>
    </comment>
    <comment ref="S7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VẮT LAI CỔ</t>
        </r>
      </text>
    </comment>
    <comment ref="S8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VẮT LAI CỔ</t>
        </r>
      </text>
    </comment>
    <comment ref="S10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VA71</t>
        </r>
      </text>
    </comment>
    <comment ref="S11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VẮT LAI CỔ</t>
        </r>
      </text>
    </comment>
    <comment ref="S12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VẮT LAI CỔ</t>
        </r>
      </text>
    </comment>
    <comment ref="S13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VẮT LAI CỔ</t>
        </r>
      </text>
    </comment>
    <comment ref="S14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VẮT LAI CỔ</t>
        </r>
      </text>
    </comment>
    <comment ref="S15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VẮT LAI CỔ</t>
        </r>
      </text>
    </comment>
    <comment ref="S16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VẮT LAI CỔ</t>
        </r>
      </text>
    </comment>
  </commentList>
</comments>
</file>

<file path=xl/sharedStrings.xml><?xml version="1.0" encoding="utf-8"?>
<sst xmlns="http://schemas.openxmlformats.org/spreadsheetml/2006/main" count="68" uniqueCount="68">
  <si>
    <t>CD01</t>
  </si>
  <si>
    <t>CD02</t>
  </si>
  <si>
    <t>CD03</t>
  </si>
  <si>
    <t>CD04</t>
  </si>
  <si>
    <t>CD05</t>
  </si>
  <si>
    <t>CD06</t>
  </si>
  <si>
    <t>CD07</t>
  </si>
  <si>
    <t>CD08</t>
  </si>
  <si>
    <t>CD09</t>
  </si>
  <si>
    <t>CD10</t>
  </si>
  <si>
    <t>CD11</t>
  </si>
  <si>
    <t>CD12</t>
  </si>
  <si>
    <t>CD13</t>
  </si>
  <si>
    <t>CD14</t>
  </si>
  <si>
    <t>CD15</t>
  </si>
  <si>
    <t>CD16</t>
  </si>
  <si>
    <t>CD17</t>
  </si>
  <si>
    <t>CD18</t>
  </si>
  <si>
    <t>CD19</t>
  </si>
  <si>
    <t>CD20</t>
  </si>
  <si>
    <t>CD21</t>
  </si>
  <si>
    <t>CD22</t>
  </si>
  <si>
    <t>CD23</t>
  </si>
  <si>
    <t>CD24</t>
  </si>
  <si>
    <t>CD25</t>
  </si>
  <si>
    <t>CD26</t>
  </si>
  <si>
    <t>CD27</t>
  </si>
  <si>
    <t>CD28</t>
  </si>
  <si>
    <t>CD29</t>
  </si>
  <si>
    <t>CD30</t>
  </si>
  <si>
    <t>CD31</t>
  </si>
  <si>
    <t>CD32</t>
  </si>
  <si>
    <t>CD33</t>
  </si>
  <si>
    <t>CD34</t>
  </si>
  <si>
    <t>CD45</t>
  </si>
  <si>
    <t>CD46</t>
  </si>
  <si>
    <t>CD47</t>
  </si>
  <si>
    <t>CD48</t>
  </si>
  <si>
    <t>CD49</t>
  </si>
  <si>
    <t>CD50</t>
  </si>
  <si>
    <t>CD51</t>
  </si>
  <si>
    <t>CD52</t>
  </si>
  <si>
    <t>CD53</t>
  </si>
  <si>
    <t>CD54</t>
  </si>
  <si>
    <t>CD55</t>
  </si>
  <si>
    <t>CD56</t>
  </si>
  <si>
    <t>CD57</t>
  </si>
  <si>
    <t>CD58</t>
  </si>
  <si>
    <t>CD59</t>
  </si>
  <si>
    <t>CD60</t>
  </si>
  <si>
    <t>CD61</t>
  </si>
  <si>
    <t>CD62</t>
  </si>
  <si>
    <t>CD63</t>
  </si>
  <si>
    <t>A1</t>
  </si>
  <si>
    <t>A1OKU</t>
  </si>
  <si>
    <t>A1A</t>
  </si>
  <si>
    <t>A3</t>
  </si>
  <si>
    <t>A4</t>
  </si>
  <si>
    <t>A6A</t>
  </si>
  <si>
    <t>A82LC</t>
  </si>
  <si>
    <t>A8MC</t>
  </si>
  <si>
    <t>A9A</t>
  </si>
  <si>
    <t>A10</t>
  </si>
  <si>
    <t>A11</t>
  </si>
  <si>
    <t>A14</t>
  </si>
  <si>
    <t>A13A</t>
  </si>
  <si>
    <t>A16A</t>
  </si>
  <si>
    <t>AAKIKO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</si>
</sst>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</numFmts>
  <fonts count="28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1"/>
      <color theme="9" tint="-0.499984740745262"/>
      <name val="Times New Roman"/>
      <charset val="134"/>
    </font>
    <font>
      <b/>
      <sz val="11"/>
      <color rgb="FFC00000"/>
      <name val="Times New Roman"/>
      <charset val="134"/>
    </font>
    <font>
      <sz val="12"/>
      <color theme="1"/>
      <name val="Calibri"/>
      <charset val="134"/>
      <scheme val="minor"/>
    </font>
    <font>
      <b/>
      <sz val="10"/>
      <name val="Times New Roman"/>
      <charset val="134"/>
    </font>
    <font>
      <b/>
      <sz val="10"/>
      <color rgb="FFFF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0" xfId="0" applyNumberFormat="1" applyFont="1" applyFill="1" applyAlignment="1"/>
    <xf numFmtId="178" fontId="5" fillId="2" borderId="2" xfId="1" applyNumberFormat="1" applyFont="1" applyFill="1" applyBorder="1" applyAlignment="1">
      <alignment vertical="center"/>
    </xf>
    <xf numFmtId="178" fontId="6" fillId="2" borderId="2" xfId="1" applyNumberFormat="1" applyFont="1" applyFill="1" applyBorder="1" applyAlignment="1">
      <alignment vertical="center"/>
    </xf>
    <xf numFmtId="178" fontId="5" fillId="2" borderId="3" xfId="1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H PH&#431;&#416;NG\L&#431;&#416;NG20161111\LUONG NOI BO\L&#432;&#417;ng 2024\Th&#225;ng 5\&#272;&#416;N GI&#193; M&#7898;I - X&#431;&#7902;NG 1- NG&#192;Y 3.7.2023 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ÁI THỦY"/>
      <sheetName val="LIỄU A"/>
      <sheetName val="VINH"/>
      <sheetName val="C.THỦY"/>
      <sheetName val="MINH"/>
      <sheetName val="NGHĨA"/>
      <sheetName val="LIỂU B"/>
      <sheetName val="ẨN"/>
      <sheetName val="K THÚY"/>
      <sheetName val="LƯƠNG SP CHUYỀN 2"/>
      <sheetName val="VỆ TINH TÝ "/>
      <sheetName val="VỆ TINH HƯỜNG"/>
      <sheetName val="VỆ TINH NGUYÊN"/>
      <sheetName val="VT DƯƠNG NGHĨA"/>
      <sheetName val="VT GIANG"/>
      <sheetName val="VT BÌNH"/>
      <sheetName val="LƯƠNG SP VỆ TINH"/>
      <sheetName val="tổng tiên vệtinh"/>
      <sheetName val="ĐG- XƯỞNG 1"/>
      <sheetName val="ĐG- VETINH - 1"/>
      <sheetName val="ĐG- VTINH- THAY ĐỔI"/>
      <sheetName val="VT- THÁ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A5">
            <v>350</v>
          </cell>
          <cell r="AB5">
            <v>550</v>
          </cell>
          <cell r="AC5">
            <v>600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6"/>
  <sheetViews>
    <sheetView tabSelected="1" workbookViewId="0">
      <selection activeCell="BD9" sqref="BD9"/>
    </sheetView>
  </sheetViews>
  <sheetFormatPr defaultColWidth="8.72727272727273" defaultRowHeight="14.5"/>
  <sheetData>
    <row r="1" s="1" customFormat="1" ht="14" spans="2:54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</row>
    <row r="2" s="2" customFormat="1" ht="15.5" spans="1:54">
      <c r="A2" s="4" t="s">
        <v>53</v>
      </c>
      <c r="B2" s="5">
        <v>2300</v>
      </c>
      <c r="C2" s="5"/>
      <c r="D2" s="5">
        <v>4000</v>
      </c>
      <c r="E2" s="5"/>
      <c r="F2" s="5"/>
      <c r="G2" s="5"/>
      <c r="H2" s="5"/>
      <c r="I2" s="5">
        <v>2500</v>
      </c>
      <c r="J2" s="5">
        <v>4500</v>
      </c>
      <c r="K2" s="5"/>
      <c r="L2" s="5"/>
      <c r="M2" s="5"/>
      <c r="N2" s="5">
        <v>1400</v>
      </c>
      <c r="O2" s="5"/>
      <c r="P2" s="5">
        <v>1400</v>
      </c>
      <c r="Q2" s="5"/>
      <c r="R2" s="5"/>
      <c r="S2" s="5"/>
      <c r="T2" s="5"/>
      <c r="U2" s="5"/>
      <c r="V2" s="5">
        <v>4600</v>
      </c>
      <c r="W2" s="5"/>
      <c r="X2" s="5">
        <f>'[1]ĐG- XƯỞNG 1'!AA5*2</f>
        <v>700</v>
      </c>
      <c r="Y2" s="5">
        <f>'[1]ĐG- XƯỞNG 1'!AB5*2</f>
        <v>1100</v>
      </c>
      <c r="Z2" s="5">
        <f>'[1]ĐG- XƯỞNG 1'!AC5+200</f>
        <v>800</v>
      </c>
      <c r="AA2" s="5"/>
      <c r="AB2" s="5"/>
      <c r="AC2" s="5"/>
      <c r="AD2" s="5"/>
      <c r="AE2" s="5">
        <v>2500</v>
      </c>
      <c r="AF2" s="5">
        <v>1000</v>
      </c>
      <c r="AG2" s="5"/>
      <c r="AH2" s="5">
        <v>1000</v>
      </c>
      <c r="AI2" s="5"/>
      <c r="AJ2" s="5">
        <v>1800</v>
      </c>
      <c r="AK2" s="5"/>
      <c r="AL2" s="5">
        <v>1300</v>
      </c>
      <c r="AM2" s="5">
        <f>471-50+88</f>
        <v>509</v>
      </c>
      <c r="AN2" s="5">
        <f t="shared" ref="AN2:AP2" si="0">311-50</f>
        <v>261</v>
      </c>
      <c r="AO2" s="5">
        <f t="shared" si="0"/>
        <v>261</v>
      </c>
      <c r="AP2" s="5">
        <f t="shared" si="0"/>
        <v>261</v>
      </c>
      <c r="AQ2" s="5">
        <f>204-50</f>
        <v>154</v>
      </c>
      <c r="AR2" s="5">
        <f>204-50</f>
        <v>154</v>
      </c>
      <c r="AS2" s="7">
        <v>2700</v>
      </c>
      <c r="AT2" s="7">
        <v>1500</v>
      </c>
      <c r="AU2" s="7">
        <v>1200</v>
      </c>
      <c r="AV2" s="7">
        <v>985</v>
      </c>
      <c r="AW2" s="7">
        <v>1200</v>
      </c>
      <c r="AX2" s="7">
        <v>1000</v>
      </c>
      <c r="AY2" s="7">
        <v>615</v>
      </c>
      <c r="AZ2" s="7"/>
      <c r="BA2" s="7"/>
      <c r="BB2" s="7">
        <v>2000</v>
      </c>
    </row>
    <row r="3" s="2" customFormat="1" ht="15.5" spans="1:54">
      <c r="A3" s="4" t="s">
        <v>54</v>
      </c>
      <c r="B3" s="5">
        <f t="shared" ref="B3:H3" si="1">B2</f>
        <v>2300</v>
      </c>
      <c r="C3" s="5">
        <f t="shared" si="1"/>
        <v>0</v>
      </c>
      <c r="D3" s="5">
        <f t="shared" si="1"/>
        <v>4000</v>
      </c>
      <c r="E3" s="5">
        <f t="shared" si="1"/>
        <v>0</v>
      </c>
      <c r="F3" s="5">
        <f t="shared" si="1"/>
        <v>0</v>
      </c>
      <c r="G3" s="5">
        <f t="shared" si="1"/>
        <v>0</v>
      </c>
      <c r="H3" s="5">
        <f t="shared" si="1"/>
        <v>0</v>
      </c>
      <c r="I3" s="5">
        <f>$I$2</f>
        <v>2500</v>
      </c>
      <c r="J3" s="5">
        <f>$J$2</f>
        <v>4500</v>
      </c>
      <c r="K3" s="5">
        <f t="shared" ref="K3:M3" si="2">K2</f>
        <v>0</v>
      </c>
      <c r="L3" s="5">
        <f t="shared" si="2"/>
        <v>0</v>
      </c>
      <c r="M3" s="5">
        <f t="shared" si="2"/>
        <v>0</v>
      </c>
      <c r="N3" s="6">
        <f t="shared" ref="N3:Q3" si="3">N18</f>
        <v>0</v>
      </c>
      <c r="O3" s="6">
        <f t="shared" ref="O3:U3" si="4">O2</f>
        <v>0</v>
      </c>
      <c r="P3" s="6">
        <f t="shared" si="3"/>
        <v>0</v>
      </c>
      <c r="Q3" s="6">
        <f t="shared" si="3"/>
        <v>0</v>
      </c>
      <c r="R3" s="5">
        <f t="shared" si="4"/>
        <v>0</v>
      </c>
      <c r="S3" s="5">
        <f t="shared" si="4"/>
        <v>0</v>
      </c>
      <c r="T3" s="5">
        <f t="shared" si="4"/>
        <v>0</v>
      </c>
      <c r="U3" s="5">
        <f t="shared" si="4"/>
        <v>0</v>
      </c>
      <c r="V3" s="5">
        <v>4600</v>
      </c>
      <c r="W3" s="5">
        <f t="shared" ref="W3:AA3" si="5">W2</f>
        <v>0</v>
      </c>
      <c r="X3" s="5">
        <f t="shared" si="5"/>
        <v>700</v>
      </c>
      <c r="Y3" s="5">
        <f t="shared" si="5"/>
        <v>1100</v>
      </c>
      <c r="Z3" s="5">
        <f t="shared" si="5"/>
        <v>800</v>
      </c>
      <c r="AA3" s="5">
        <f t="shared" si="5"/>
        <v>0</v>
      </c>
      <c r="AB3" s="5"/>
      <c r="AC3" s="5"/>
      <c r="AD3" s="5">
        <f t="shared" ref="AD3:AR3" si="6">AD2</f>
        <v>0</v>
      </c>
      <c r="AE3" s="5">
        <v>2800</v>
      </c>
      <c r="AF3" s="5">
        <f t="shared" si="6"/>
        <v>1000</v>
      </c>
      <c r="AG3" s="5">
        <f t="shared" si="6"/>
        <v>0</v>
      </c>
      <c r="AH3" s="5">
        <f t="shared" si="6"/>
        <v>1000</v>
      </c>
      <c r="AI3" s="5">
        <f t="shared" si="6"/>
        <v>0</v>
      </c>
      <c r="AJ3" s="5">
        <f t="shared" si="6"/>
        <v>1800</v>
      </c>
      <c r="AK3" s="5">
        <f t="shared" si="6"/>
        <v>0</v>
      </c>
      <c r="AL3" s="5">
        <f t="shared" si="6"/>
        <v>1300</v>
      </c>
      <c r="AM3" s="5">
        <f t="shared" si="6"/>
        <v>509</v>
      </c>
      <c r="AN3" s="5">
        <f t="shared" si="6"/>
        <v>261</v>
      </c>
      <c r="AO3" s="5">
        <f t="shared" si="6"/>
        <v>261</v>
      </c>
      <c r="AP3" s="5">
        <f t="shared" si="6"/>
        <v>261</v>
      </c>
      <c r="AQ3" s="5">
        <f t="shared" si="6"/>
        <v>154</v>
      </c>
      <c r="AR3" s="5">
        <f t="shared" si="6"/>
        <v>154</v>
      </c>
      <c r="AS3" s="5">
        <f>$AS$2</f>
        <v>2700</v>
      </c>
      <c r="AT3" s="5">
        <f>$AT$2</f>
        <v>1500</v>
      </c>
      <c r="AU3" s="5">
        <f>$AU$2</f>
        <v>1200</v>
      </c>
      <c r="AV3" s="5">
        <f>$AV$2</f>
        <v>985</v>
      </c>
      <c r="AW3" s="5">
        <f>$AW$2</f>
        <v>1200</v>
      </c>
      <c r="AX3" s="5">
        <f>$AX$2</f>
        <v>1000</v>
      </c>
      <c r="AY3" s="5">
        <f>$AY$2</f>
        <v>615</v>
      </c>
      <c r="AZ3" s="5">
        <f>AZ2</f>
        <v>0</v>
      </c>
      <c r="BA3" s="5">
        <f>BA2</f>
        <v>0</v>
      </c>
      <c r="BB3" s="5">
        <f>BB2</f>
        <v>2000</v>
      </c>
    </row>
    <row r="4" s="2" customFormat="1" ht="15.5" spans="1:54">
      <c r="A4" s="4" t="s">
        <v>55</v>
      </c>
      <c r="B4" s="5">
        <f>$B$2</f>
        <v>2300</v>
      </c>
      <c r="C4" s="5"/>
      <c r="D4" s="5">
        <f>$D$2</f>
        <v>4000</v>
      </c>
      <c r="E4" s="5"/>
      <c r="F4" s="5"/>
      <c r="G4" s="5"/>
      <c r="H4" s="5"/>
      <c r="I4" s="5">
        <f>$I$2</f>
        <v>2500</v>
      </c>
      <c r="J4" s="5">
        <f>$J$2</f>
        <v>4500</v>
      </c>
      <c r="K4" s="5">
        <f>$K$2</f>
        <v>0</v>
      </c>
      <c r="L4" s="5">
        <f>$L$2</f>
        <v>0</v>
      </c>
      <c r="M4" s="5"/>
      <c r="N4" s="5">
        <f>$N$2</f>
        <v>1400</v>
      </c>
      <c r="O4" s="5"/>
      <c r="P4" s="5">
        <f>$P$2</f>
        <v>1400</v>
      </c>
      <c r="Q4" s="5"/>
      <c r="R4" s="5"/>
      <c r="S4" s="5">
        <f>$S$2</f>
        <v>0</v>
      </c>
      <c r="T4" s="5">
        <f>$T$2/2</f>
        <v>0</v>
      </c>
      <c r="U4" s="5">
        <f>$U$2</f>
        <v>0</v>
      </c>
      <c r="V4" s="5">
        <v>4600</v>
      </c>
      <c r="W4" s="5"/>
      <c r="X4" s="5">
        <f>$X$2</f>
        <v>700</v>
      </c>
      <c r="Y4" s="5">
        <f>$Y$2</f>
        <v>1100</v>
      </c>
      <c r="Z4" s="5">
        <f>$Z$2</f>
        <v>800</v>
      </c>
      <c r="AA4" s="5"/>
      <c r="AB4" s="5"/>
      <c r="AC4" s="5"/>
      <c r="AD4" s="5"/>
      <c r="AE4" s="5">
        <f>$AE$2</f>
        <v>2500</v>
      </c>
      <c r="AF4" s="5">
        <f>$AF$2</f>
        <v>1000</v>
      </c>
      <c r="AG4" s="5"/>
      <c r="AH4" s="5">
        <f>$AH$2</f>
        <v>1000</v>
      </c>
      <c r="AI4" s="5"/>
      <c r="AJ4" s="5"/>
      <c r="AK4" s="5"/>
      <c r="AL4" s="5">
        <f>$AL$2</f>
        <v>1300</v>
      </c>
      <c r="AM4" s="5">
        <f>$AM$2</f>
        <v>509</v>
      </c>
      <c r="AN4" s="5">
        <f>$AN$2</f>
        <v>261</v>
      </c>
      <c r="AO4" s="5">
        <f>$AO$2</f>
        <v>261</v>
      </c>
      <c r="AP4" s="5">
        <f>$AP$2</f>
        <v>261</v>
      </c>
      <c r="AQ4" s="5">
        <f>$AQ$2</f>
        <v>154</v>
      </c>
      <c r="AR4" s="5">
        <f>$AR$2</f>
        <v>154</v>
      </c>
      <c r="AS4" s="5">
        <f>$AS$2</f>
        <v>2700</v>
      </c>
      <c r="AT4" s="5">
        <f>$AT$2</f>
        <v>1500</v>
      </c>
      <c r="AU4" s="5">
        <f>$AU$2</f>
        <v>1200</v>
      </c>
      <c r="AV4" s="5">
        <f>$AV$2</f>
        <v>985</v>
      </c>
      <c r="AW4" s="5">
        <f>$AW$2</f>
        <v>1200</v>
      </c>
      <c r="AX4" s="5">
        <f>$AX$2</f>
        <v>1000</v>
      </c>
      <c r="AY4" s="5">
        <f>$AY$2</f>
        <v>615</v>
      </c>
      <c r="AZ4" s="7"/>
      <c r="BA4" s="7"/>
      <c r="BB4" s="7">
        <f>BB2</f>
        <v>2000</v>
      </c>
    </row>
    <row r="5" s="2" customFormat="1" ht="15.5" spans="1:54">
      <c r="A5" s="4" t="s">
        <v>56</v>
      </c>
      <c r="B5" s="5">
        <f>$B$2</f>
        <v>2300</v>
      </c>
      <c r="C5" s="5"/>
      <c r="D5" s="5">
        <f>$D$2</f>
        <v>4000</v>
      </c>
      <c r="E5" s="5"/>
      <c r="F5" s="5"/>
      <c r="G5" s="5"/>
      <c r="H5" s="5"/>
      <c r="I5" s="5">
        <f>$I$2</f>
        <v>2500</v>
      </c>
      <c r="J5" s="5">
        <f>$J$2</f>
        <v>4500</v>
      </c>
      <c r="K5" s="5">
        <f>$K$2</f>
        <v>0</v>
      </c>
      <c r="L5" s="5">
        <f>$L$2</f>
        <v>0</v>
      </c>
      <c r="M5" s="5"/>
      <c r="N5" s="5">
        <f>$N$2</f>
        <v>1400</v>
      </c>
      <c r="O5" s="5"/>
      <c r="P5" s="5">
        <f>$P$2</f>
        <v>1400</v>
      </c>
      <c r="Q5" s="5"/>
      <c r="R5" s="5"/>
      <c r="S5" s="5">
        <f>$S$2</f>
        <v>0</v>
      </c>
      <c r="T5" s="5">
        <f>$T$2/2</f>
        <v>0</v>
      </c>
      <c r="U5" s="5">
        <f>$U$2</f>
        <v>0</v>
      </c>
      <c r="V5" s="5">
        <v>5000</v>
      </c>
      <c r="W5" s="5"/>
      <c r="X5" s="5">
        <f>$X$2</f>
        <v>700</v>
      </c>
      <c r="Y5" s="5">
        <f>$Y$2</f>
        <v>1100</v>
      </c>
      <c r="Z5" s="5">
        <f>$Z$2</f>
        <v>800</v>
      </c>
      <c r="AA5" s="5"/>
      <c r="AB5" s="5"/>
      <c r="AC5" s="5"/>
      <c r="AD5" s="5"/>
      <c r="AE5" s="5">
        <f>$AE$2</f>
        <v>2500</v>
      </c>
      <c r="AF5" s="5">
        <f>$AF$2</f>
        <v>1000</v>
      </c>
      <c r="AG5" s="5"/>
      <c r="AH5" s="5">
        <f>$AH$2</f>
        <v>1000</v>
      </c>
      <c r="AI5" s="5"/>
      <c r="AJ5" s="5">
        <f>$AJ$2</f>
        <v>1800</v>
      </c>
      <c r="AK5" s="5"/>
      <c r="AL5" s="5">
        <f>$AL$2</f>
        <v>1300</v>
      </c>
      <c r="AM5" s="5">
        <f>$AM$2</f>
        <v>509</v>
      </c>
      <c r="AN5" s="5">
        <f>$AN$2</f>
        <v>261</v>
      </c>
      <c r="AO5" s="5">
        <f>$AO$2</f>
        <v>261</v>
      </c>
      <c r="AP5" s="5">
        <f>$AP$2</f>
        <v>261</v>
      </c>
      <c r="AQ5" s="5">
        <f>$AQ$2</f>
        <v>154</v>
      </c>
      <c r="AR5" s="5">
        <f>$AR$2</f>
        <v>154</v>
      </c>
      <c r="AS5" s="5">
        <f>$AS$2</f>
        <v>2700</v>
      </c>
      <c r="AT5" s="5">
        <f>$AT$2</f>
        <v>1500</v>
      </c>
      <c r="AU5" s="5">
        <f>$AU$2</f>
        <v>1200</v>
      </c>
      <c r="AV5" s="5">
        <f>$AV$2</f>
        <v>985</v>
      </c>
      <c r="AW5" s="5">
        <f>$AW$2</f>
        <v>1200</v>
      </c>
      <c r="AX5" s="5">
        <f>$AX$2</f>
        <v>1000</v>
      </c>
      <c r="AY5" s="5">
        <f>$AY$2</f>
        <v>615</v>
      </c>
      <c r="AZ5" s="7"/>
      <c r="BA5" s="7"/>
      <c r="BB5" s="7">
        <f>BB2*0.8</f>
        <v>1600</v>
      </c>
    </row>
    <row r="6" s="2" customFormat="1" ht="15.5" spans="1:54">
      <c r="A6" s="4" t="s">
        <v>57</v>
      </c>
      <c r="B6" s="5">
        <f>$B$2</f>
        <v>2300</v>
      </c>
      <c r="C6" s="5"/>
      <c r="D6" s="5">
        <f>$D$2</f>
        <v>4000</v>
      </c>
      <c r="E6" s="5"/>
      <c r="F6" s="5"/>
      <c r="G6" s="5"/>
      <c r="H6" s="5"/>
      <c r="I6" s="5">
        <f>$I$2</f>
        <v>2500</v>
      </c>
      <c r="J6" s="5">
        <f>$J$2</f>
        <v>4500</v>
      </c>
      <c r="K6" s="5">
        <f>$K$2</f>
        <v>0</v>
      </c>
      <c r="L6" s="5">
        <f>$L$2</f>
        <v>0</v>
      </c>
      <c r="M6" s="5"/>
      <c r="N6" s="5">
        <f>$N$2</f>
        <v>1400</v>
      </c>
      <c r="O6" s="5"/>
      <c r="P6" s="5">
        <f>$P$2</f>
        <v>1400</v>
      </c>
      <c r="Q6" s="5"/>
      <c r="R6" s="5"/>
      <c r="S6" s="5">
        <f>$S$2</f>
        <v>0</v>
      </c>
      <c r="T6" s="5">
        <f>$T$2/2</f>
        <v>0</v>
      </c>
      <c r="U6" s="5"/>
      <c r="V6" s="5">
        <v>4400</v>
      </c>
      <c r="W6" s="5"/>
      <c r="X6" s="5">
        <f>$X$2</f>
        <v>700</v>
      </c>
      <c r="Y6" s="5">
        <f>$Y$2</f>
        <v>1100</v>
      </c>
      <c r="Z6" s="5">
        <f>$Z$2</f>
        <v>800</v>
      </c>
      <c r="AA6" s="5"/>
      <c r="AB6" s="5"/>
      <c r="AC6" s="5"/>
      <c r="AD6" s="5"/>
      <c r="AE6" s="5">
        <f>$AE$2</f>
        <v>2500</v>
      </c>
      <c r="AF6" s="5">
        <f>$AF$2</f>
        <v>1000</v>
      </c>
      <c r="AG6" s="5"/>
      <c r="AH6" s="5">
        <f>$AH$2</f>
        <v>1000</v>
      </c>
      <c r="AI6" s="5"/>
      <c r="AJ6" s="5"/>
      <c r="AK6" s="5"/>
      <c r="AL6" s="5">
        <f>$AL$2</f>
        <v>1300</v>
      </c>
      <c r="AM6" s="5">
        <f>$AM$2</f>
        <v>509</v>
      </c>
      <c r="AN6" s="5">
        <f>$AN$2</f>
        <v>261</v>
      </c>
      <c r="AO6" s="5">
        <f>$AO$2</f>
        <v>261</v>
      </c>
      <c r="AP6" s="5">
        <f>$AP$2</f>
        <v>261</v>
      </c>
      <c r="AQ6" s="5">
        <f>$AQ$2</f>
        <v>154</v>
      </c>
      <c r="AR6" s="5">
        <f>$AR$2</f>
        <v>154</v>
      </c>
      <c r="AS6" s="5">
        <f>$AS$2</f>
        <v>2700</v>
      </c>
      <c r="AT6" s="5">
        <f>$AT$2</f>
        <v>1500</v>
      </c>
      <c r="AU6" s="5">
        <f>$AU$2</f>
        <v>1200</v>
      </c>
      <c r="AV6" s="5">
        <f>$AV$2</f>
        <v>985</v>
      </c>
      <c r="AW6" s="5">
        <f>$AW$2</f>
        <v>1200</v>
      </c>
      <c r="AX6" s="5">
        <f>$AX$2</f>
        <v>1000</v>
      </c>
      <c r="AY6" s="5">
        <f>$AY$2</f>
        <v>615</v>
      </c>
      <c r="AZ6" s="7"/>
      <c r="BA6" s="7"/>
      <c r="BB6" s="7">
        <f>BB2*0.8</f>
        <v>1600</v>
      </c>
    </row>
    <row r="7" s="2" customFormat="1" ht="15.5" spans="1:54">
      <c r="A7" s="4" t="s">
        <v>58</v>
      </c>
      <c r="B7" s="5">
        <f>$B$2</f>
        <v>2300</v>
      </c>
      <c r="C7" s="5"/>
      <c r="D7" s="5">
        <f>$D$2</f>
        <v>4000</v>
      </c>
      <c r="E7" s="5"/>
      <c r="F7" s="5"/>
      <c r="G7" s="5"/>
      <c r="H7" s="5"/>
      <c r="I7" s="5">
        <f>$I$2</f>
        <v>2500</v>
      </c>
      <c r="J7" s="5">
        <f>$J$2</f>
        <v>4500</v>
      </c>
      <c r="K7" s="5">
        <f>$K$2</f>
        <v>0</v>
      </c>
      <c r="L7" s="5">
        <f>$L$2</f>
        <v>0</v>
      </c>
      <c r="M7" s="5"/>
      <c r="N7" s="5">
        <f>$N$2</f>
        <v>1400</v>
      </c>
      <c r="O7" s="5"/>
      <c r="P7" s="5">
        <f>$P$2</f>
        <v>1400</v>
      </c>
      <c r="Q7" s="5"/>
      <c r="R7" s="5"/>
      <c r="S7" s="5">
        <f>$S$2</f>
        <v>0</v>
      </c>
      <c r="T7" s="5">
        <f>$T$2</f>
        <v>0</v>
      </c>
      <c r="U7" s="5">
        <f>$U$2</f>
        <v>0</v>
      </c>
      <c r="V7" s="5">
        <v>4600</v>
      </c>
      <c r="W7" s="5"/>
      <c r="X7" s="5">
        <f>$X$2</f>
        <v>700</v>
      </c>
      <c r="Y7" s="5">
        <f>$Y$2</f>
        <v>1100</v>
      </c>
      <c r="Z7" s="5">
        <f>$Z$2</f>
        <v>800</v>
      </c>
      <c r="AA7" s="5"/>
      <c r="AB7" s="5"/>
      <c r="AC7" s="5"/>
      <c r="AD7" s="5"/>
      <c r="AE7" s="5">
        <f>$AE$2</f>
        <v>2500</v>
      </c>
      <c r="AF7" s="5">
        <f>$AF$2</f>
        <v>1000</v>
      </c>
      <c r="AG7" s="5"/>
      <c r="AH7" s="5">
        <f>$AH$2</f>
        <v>1000</v>
      </c>
      <c r="AI7" s="5"/>
      <c r="AJ7" s="5">
        <f>$AJ$2</f>
        <v>1800</v>
      </c>
      <c r="AK7" s="5"/>
      <c r="AL7" s="5">
        <f>$AL$2</f>
        <v>1300</v>
      </c>
      <c r="AM7" s="5">
        <f>$AM$2</f>
        <v>509</v>
      </c>
      <c r="AN7" s="5">
        <f>$AN$2</f>
        <v>261</v>
      </c>
      <c r="AO7" s="5">
        <f>$AO$2</f>
        <v>261</v>
      </c>
      <c r="AP7" s="5">
        <f>$AP$2</f>
        <v>261</v>
      </c>
      <c r="AQ7" s="5">
        <f>$AQ$2</f>
        <v>154</v>
      </c>
      <c r="AR7" s="5">
        <f>$AR$2</f>
        <v>154</v>
      </c>
      <c r="AS7" s="5">
        <f>$AS$2</f>
        <v>2700</v>
      </c>
      <c r="AT7" s="5">
        <f>$AT$2</f>
        <v>1500</v>
      </c>
      <c r="AU7" s="5">
        <f>$AU$2</f>
        <v>1200</v>
      </c>
      <c r="AV7" s="5">
        <f>$AV$2</f>
        <v>985</v>
      </c>
      <c r="AW7" s="5">
        <f>$AW$2</f>
        <v>1200</v>
      </c>
      <c r="AX7" s="5">
        <f>$AX$2</f>
        <v>1000</v>
      </c>
      <c r="AY7" s="5">
        <f>$AY$2</f>
        <v>615</v>
      </c>
      <c r="AZ7" s="7"/>
      <c r="BA7" s="7"/>
      <c r="BB7" s="7">
        <f>BB2*0.9</f>
        <v>1800</v>
      </c>
    </row>
    <row r="8" s="2" customFormat="1" ht="15.5" spans="1:54">
      <c r="A8" s="4" t="s">
        <v>59</v>
      </c>
      <c r="B8" s="5">
        <f>$B$2</f>
        <v>2300</v>
      </c>
      <c r="C8" s="5"/>
      <c r="D8" s="5">
        <f>$D$2</f>
        <v>4000</v>
      </c>
      <c r="E8" s="5"/>
      <c r="F8" s="5"/>
      <c r="G8" s="5"/>
      <c r="H8" s="5"/>
      <c r="I8" s="5">
        <f>$I$2</f>
        <v>2500</v>
      </c>
      <c r="J8" s="5">
        <f>$J$2</f>
        <v>4500</v>
      </c>
      <c r="K8" s="5">
        <f>$K$2</f>
        <v>0</v>
      </c>
      <c r="L8" s="5">
        <f>$L$2</f>
        <v>0</v>
      </c>
      <c r="M8" s="5"/>
      <c r="N8" s="5">
        <f>$N$2</f>
        <v>1400</v>
      </c>
      <c r="O8" s="5"/>
      <c r="P8" s="5">
        <f>$P$2</f>
        <v>1400</v>
      </c>
      <c r="Q8" s="5"/>
      <c r="R8" s="5"/>
      <c r="S8" s="5">
        <f>$S$2</f>
        <v>0</v>
      </c>
      <c r="T8" s="5">
        <f>T4</f>
        <v>0</v>
      </c>
      <c r="U8" s="5">
        <f>$U$2</f>
        <v>0</v>
      </c>
      <c r="V8" s="5">
        <v>4600</v>
      </c>
      <c r="W8" s="5"/>
      <c r="X8" s="5">
        <f>$X$2</f>
        <v>700</v>
      </c>
      <c r="Y8" s="5">
        <f>$Y$2</f>
        <v>1100</v>
      </c>
      <c r="Z8" s="5">
        <f>$Z$2</f>
        <v>800</v>
      </c>
      <c r="AA8" s="5"/>
      <c r="AB8" s="5"/>
      <c r="AC8" s="5"/>
      <c r="AD8" s="5"/>
      <c r="AE8" s="5">
        <f>$AE$2</f>
        <v>2500</v>
      </c>
      <c r="AF8" s="5">
        <f>$AF$2</f>
        <v>1000</v>
      </c>
      <c r="AG8" s="5"/>
      <c r="AH8" s="5">
        <f>$AH$2</f>
        <v>1000</v>
      </c>
      <c r="AI8" s="5"/>
      <c r="AJ8" s="5"/>
      <c r="AK8" s="5"/>
      <c r="AL8" s="5">
        <f>$AL$2</f>
        <v>1300</v>
      </c>
      <c r="AM8" s="5">
        <f>$AM$2</f>
        <v>509</v>
      </c>
      <c r="AN8" s="5">
        <f>$AN$2</f>
        <v>261</v>
      </c>
      <c r="AO8" s="5">
        <f>$AO$2</f>
        <v>261</v>
      </c>
      <c r="AP8" s="5">
        <f>$AP$2</f>
        <v>261</v>
      </c>
      <c r="AQ8" s="5">
        <f>$AQ$2</f>
        <v>154</v>
      </c>
      <c r="AR8" s="5">
        <f>$AR$2</f>
        <v>154</v>
      </c>
      <c r="AS8" s="5">
        <f>$AS$2</f>
        <v>2700</v>
      </c>
      <c r="AT8" s="5">
        <f>$AT$2</f>
        <v>1500</v>
      </c>
      <c r="AU8" s="5">
        <f>$AU$2</f>
        <v>1200</v>
      </c>
      <c r="AV8" s="5">
        <f>$AV$2</f>
        <v>985</v>
      </c>
      <c r="AW8" s="5">
        <f>$AW$2</f>
        <v>1200</v>
      </c>
      <c r="AX8" s="5">
        <f>$AX$2</f>
        <v>1000</v>
      </c>
      <c r="AY8" s="5">
        <f>$AY$2</f>
        <v>615</v>
      </c>
      <c r="AZ8" s="7"/>
      <c r="BA8" s="7"/>
      <c r="BB8" s="7">
        <f>BB2*0.8</f>
        <v>1600</v>
      </c>
    </row>
    <row r="9" s="2" customFormat="1" ht="15.5" spans="1:54">
      <c r="A9" s="4" t="s">
        <v>60</v>
      </c>
      <c r="B9" s="5">
        <f>$B$2</f>
        <v>2300</v>
      </c>
      <c r="C9" s="5"/>
      <c r="D9" s="5">
        <f>$D$2</f>
        <v>4000</v>
      </c>
      <c r="E9" s="5"/>
      <c r="F9" s="5"/>
      <c r="G9" s="5"/>
      <c r="H9" s="5"/>
      <c r="I9" s="5">
        <f>$I$2</f>
        <v>2500</v>
      </c>
      <c r="J9" s="5">
        <f>$J$2</f>
        <v>4500</v>
      </c>
      <c r="K9" s="5">
        <f>$K$2</f>
        <v>0</v>
      </c>
      <c r="L9" s="5">
        <f>$L$2</f>
        <v>0</v>
      </c>
      <c r="M9" s="5"/>
      <c r="N9" s="5">
        <f>$N$2</f>
        <v>1400</v>
      </c>
      <c r="O9" s="5"/>
      <c r="P9" s="5">
        <f>$P$2</f>
        <v>1400</v>
      </c>
      <c r="Q9" s="5"/>
      <c r="R9" s="5"/>
      <c r="S9" s="5">
        <f>$S$2</f>
        <v>0</v>
      </c>
      <c r="T9" s="5">
        <f>T5</f>
        <v>0</v>
      </c>
      <c r="U9" s="5"/>
      <c r="V9" s="5">
        <v>4600</v>
      </c>
      <c r="W9" s="5"/>
      <c r="X9" s="5">
        <f>$X$2</f>
        <v>700</v>
      </c>
      <c r="Y9" s="5">
        <f>$Y$2</f>
        <v>1100</v>
      </c>
      <c r="Z9" s="5">
        <f>$Z$2</f>
        <v>800</v>
      </c>
      <c r="AA9" s="5"/>
      <c r="AB9" s="5"/>
      <c r="AC9" s="5"/>
      <c r="AD9" s="5"/>
      <c r="AE9" s="5">
        <f>$AE$2</f>
        <v>2500</v>
      </c>
      <c r="AF9" s="5">
        <f>$AF$2</f>
        <v>1000</v>
      </c>
      <c r="AG9" s="5"/>
      <c r="AH9" s="5">
        <f>$AH$2</f>
        <v>1000</v>
      </c>
      <c r="AI9" s="5"/>
      <c r="AJ9" s="5"/>
      <c r="AK9" s="5"/>
      <c r="AL9" s="5">
        <f>$AL$2</f>
        <v>1300</v>
      </c>
      <c r="AM9" s="5">
        <f>$AM$2</f>
        <v>509</v>
      </c>
      <c r="AN9" s="5">
        <f>$AN$2</f>
        <v>261</v>
      </c>
      <c r="AO9" s="5">
        <f>$AO$2</f>
        <v>261</v>
      </c>
      <c r="AP9" s="5">
        <f>$AP$2</f>
        <v>261</v>
      </c>
      <c r="AQ9" s="5">
        <f>$AQ$2</f>
        <v>154</v>
      </c>
      <c r="AR9" s="5">
        <f>$AR$2</f>
        <v>154</v>
      </c>
      <c r="AS9" s="5">
        <f>$AS$2</f>
        <v>2700</v>
      </c>
      <c r="AT9" s="5">
        <f>$AT$2</f>
        <v>1500</v>
      </c>
      <c r="AU9" s="5">
        <f>$AU$2</f>
        <v>1200</v>
      </c>
      <c r="AV9" s="5">
        <f>$AV$2</f>
        <v>985</v>
      </c>
      <c r="AW9" s="5">
        <f>$AW$2</f>
        <v>1200</v>
      </c>
      <c r="AX9" s="5">
        <f>$AX$2</f>
        <v>1000</v>
      </c>
      <c r="AY9" s="5">
        <f>$AY$2</f>
        <v>615</v>
      </c>
      <c r="AZ9" s="7"/>
      <c r="BA9" s="7"/>
      <c r="BB9" s="7">
        <f>BB8</f>
        <v>1600</v>
      </c>
    </row>
    <row r="10" s="2" customFormat="1" ht="15.5" spans="1:54">
      <c r="A10" s="4" t="s">
        <v>61</v>
      </c>
      <c r="B10" s="5">
        <f>$B$2</f>
        <v>2300</v>
      </c>
      <c r="C10" s="5"/>
      <c r="D10" s="5">
        <f>$D$2</f>
        <v>4000</v>
      </c>
      <c r="E10" s="5"/>
      <c r="F10" s="5"/>
      <c r="G10" s="5"/>
      <c r="H10" s="5"/>
      <c r="I10" s="5">
        <f>$I$2</f>
        <v>2500</v>
      </c>
      <c r="J10" s="5">
        <f>$J$2</f>
        <v>4500</v>
      </c>
      <c r="K10" s="5">
        <f>$K$2</f>
        <v>0</v>
      </c>
      <c r="L10" s="5">
        <f>$L$2</f>
        <v>0</v>
      </c>
      <c r="M10" s="5"/>
      <c r="N10" s="5">
        <f>$N$2</f>
        <v>1400</v>
      </c>
      <c r="O10" s="5"/>
      <c r="P10" s="5">
        <f>$P$2</f>
        <v>1400</v>
      </c>
      <c r="Q10" s="5"/>
      <c r="R10" s="5"/>
      <c r="S10" s="5">
        <f>$S$2</f>
        <v>0</v>
      </c>
      <c r="T10" s="5">
        <f>T4</f>
        <v>0</v>
      </c>
      <c r="U10" s="5">
        <f>$U$2</f>
        <v>0</v>
      </c>
      <c r="V10" s="5">
        <v>4600</v>
      </c>
      <c r="W10" s="5"/>
      <c r="X10" s="5">
        <f>$X$2</f>
        <v>700</v>
      </c>
      <c r="Y10" s="5">
        <f>$Y$2</f>
        <v>1100</v>
      </c>
      <c r="Z10" s="5">
        <f>$Z$2</f>
        <v>800</v>
      </c>
      <c r="AA10" s="5"/>
      <c r="AB10" s="5"/>
      <c r="AC10" s="5"/>
      <c r="AD10" s="5"/>
      <c r="AE10" s="5">
        <f>$AE$2</f>
        <v>2500</v>
      </c>
      <c r="AF10" s="5">
        <f>$AF$2</f>
        <v>1000</v>
      </c>
      <c r="AG10" s="5"/>
      <c r="AH10" s="5">
        <f>$AH$2</f>
        <v>1000</v>
      </c>
      <c r="AI10" s="5"/>
      <c r="AJ10" s="5">
        <f>$AJ$2</f>
        <v>1800</v>
      </c>
      <c r="AK10" s="5"/>
      <c r="AL10" s="5">
        <f>$AL$2</f>
        <v>1300</v>
      </c>
      <c r="AM10" s="5">
        <f>$AM$2</f>
        <v>509</v>
      </c>
      <c r="AN10" s="5">
        <f>$AN$2</f>
        <v>261</v>
      </c>
      <c r="AO10" s="5">
        <f>$AO$2</f>
        <v>261</v>
      </c>
      <c r="AP10" s="5">
        <f>$AP$2</f>
        <v>261</v>
      </c>
      <c r="AQ10" s="5">
        <f>$AQ$2</f>
        <v>154</v>
      </c>
      <c r="AR10" s="5">
        <f>$AR$2</f>
        <v>154</v>
      </c>
      <c r="AS10" s="5">
        <f>$AS$2</f>
        <v>2700</v>
      </c>
      <c r="AT10" s="5">
        <f>$AT$2</f>
        <v>1500</v>
      </c>
      <c r="AU10" s="5">
        <f>$AU$2</f>
        <v>1200</v>
      </c>
      <c r="AV10" s="5">
        <f>$AV$2</f>
        <v>985</v>
      </c>
      <c r="AW10" s="5">
        <f>$AW$2</f>
        <v>1200</v>
      </c>
      <c r="AX10" s="5">
        <f>$AX$2</f>
        <v>1000</v>
      </c>
      <c r="AY10" s="5">
        <f>$AY$2</f>
        <v>615</v>
      </c>
      <c r="AZ10" s="7"/>
      <c r="BA10" s="7"/>
      <c r="BB10" s="7">
        <f>BB2*0.8</f>
        <v>1600</v>
      </c>
    </row>
    <row r="11" s="2" customFormat="1" ht="15.5" spans="1:54">
      <c r="A11" s="4" t="s">
        <v>62</v>
      </c>
      <c r="B11" s="5">
        <f>$B$2</f>
        <v>2300</v>
      </c>
      <c r="C11" s="5"/>
      <c r="D11" s="5">
        <f>$D$2</f>
        <v>4000</v>
      </c>
      <c r="E11" s="5"/>
      <c r="F11" s="5"/>
      <c r="G11" s="5"/>
      <c r="H11" s="5"/>
      <c r="I11" s="5">
        <f>$I$2</f>
        <v>2500</v>
      </c>
      <c r="J11" s="5">
        <f>$J$2</f>
        <v>4500</v>
      </c>
      <c r="K11" s="5">
        <f>$K$2</f>
        <v>0</v>
      </c>
      <c r="L11" s="5">
        <f>$L$2</f>
        <v>0</v>
      </c>
      <c r="M11" s="5"/>
      <c r="N11" s="5">
        <f>$N$2</f>
        <v>1400</v>
      </c>
      <c r="O11" s="5"/>
      <c r="P11" s="5">
        <f>$P$2</f>
        <v>1400</v>
      </c>
      <c r="Q11" s="5"/>
      <c r="R11" s="5"/>
      <c r="S11" s="5">
        <f>$S$2</f>
        <v>0</v>
      </c>
      <c r="T11" s="5">
        <f>$T$2</f>
        <v>0</v>
      </c>
      <c r="U11" s="5">
        <f>$U$2</f>
        <v>0</v>
      </c>
      <c r="V11" s="5">
        <v>4600</v>
      </c>
      <c r="W11" s="5"/>
      <c r="X11" s="5">
        <f>$X$2</f>
        <v>700</v>
      </c>
      <c r="Y11" s="5">
        <f>$Y$2</f>
        <v>1100</v>
      </c>
      <c r="Z11" s="5">
        <f>$Z$2</f>
        <v>800</v>
      </c>
      <c r="AA11" s="5"/>
      <c r="AB11" s="5"/>
      <c r="AC11" s="5"/>
      <c r="AD11" s="5"/>
      <c r="AE11" s="5">
        <f>$AE$2</f>
        <v>2500</v>
      </c>
      <c r="AF11" s="5">
        <f>$AF$2</f>
        <v>1000</v>
      </c>
      <c r="AG11" s="5"/>
      <c r="AH11" s="5">
        <f>$AH$2</f>
        <v>1000</v>
      </c>
      <c r="AI11" s="5"/>
      <c r="AJ11" s="5">
        <f>$AJ$2</f>
        <v>1800</v>
      </c>
      <c r="AK11" s="5"/>
      <c r="AL11" s="5">
        <f>$AL$2</f>
        <v>1300</v>
      </c>
      <c r="AM11" s="5">
        <f>$AM$2</f>
        <v>509</v>
      </c>
      <c r="AN11" s="5">
        <f>$AN$2</f>
        <v>261</v>
      </c>
      <c r="AO11" s="5">
        <f>$AO$2</f>
        <v>261</v>
      </c>
      <c r="AP11" s="5">
        <f>$AP$2</f>
        <v>261</v>
      </c>
      <c r="AQ11" s="5">
        <f>$AQ$2</f>
        <v>154</v>
      </c>
      <c r="AR11" s="5">
        <f>$AR$2</f>
        <v>154</v>
      </c>
      <c r="AS11" s="5">
        <f>$AS$2</f>
        <v>2700</v>
      </c>
      <c r="AT11" s="5">
        <f>$AT$2</f>
        <v>1500</v>
      </c>
      <c r="AU11" s="5">
        <f>$AU$2</f>
        <v>1200</v>
      </c>
      <c r="AV11" s="5">
        <f>$AV$2</f>
        <v>985</v>
      </c>
      <c r="AW11" s="5">
        <f>$AW$2</f>
        <v>1200</v>
      </c>
      <c r="AX11" s="5">
        <f>$AX$2</f>
        <v>1000</v>
      </c>
      <c r="AY11" s="5">
        <f>$AY$2</f>
        <v>615</v>
      </c>
      <c r="AZ11" s="7"/>
      <c r="BA11" s="7"/>
      <c r="BB11" s="7">
        <f>BB2</f>
        <v>2000</v>
      </c>
    </row>
    <row r="12" s="2" customFormat="1" ht="15.5" spans="1:54">
      <c r="A12" s="4" t="s">
        <v>63</v>
      </c>
      <c r="B12" s="5">
        <f>$B$2</f>
        <v>2300</v>
      </c>
      <c r="C12" s="5"/>
      <c r="D12" s="5">
        <f>$D$2</f>
        <v>4000</v>
      </c>
      <c r="E12" s="5"/>
      <c r="F12" s="5"/>
      <c r="G12" s="5"/>
      <c r="H12" s="5"/>
      <c r="I12" s="5">
        <f>$I$2</f>
        <v>2500</v>
      </c>
      <c r="J12" s="5">
        <f>$J$2</f>
        <v>4500</v>
      </c>
      <c r="K12" s="5">
        <f>$K$2</f>
        <v>0</v>
      </c>
      <c r="L12" s="5">
        <f>$L$2</f>
        <v>0</v>
      </c>
      <c r="M12" s="5"/>
      <c r="N12" s="5">
        <f>$N$2</f>
        <v>1400</v>
      </c>
      <c r="O12" s="5"/>
      <c r="P12" s="5">
        <f>$P$2</f>
        <v>1400</v>
      </c>
      <c r="Q12" s="5"/>
      <c r="R12" s="5"/>
      <c r="S12" s="5">
        <f>$S$2</f>
        <v>0</v>
      </c>
      <c r="T12" s="5">
        <f>$T$2</f>
        <v>0</v>
      </c>
      <c r="U12" s="5">
        <f>$U$2</f>
        <v>0</v>
      </c>
      <c r="V12" s="5">
        <v>4600</v>
      </c>
      <c r="W12" s="5"/>
      <c r="X12" s="5">
        <f>$X$2</f>
        <v>700</v>
      </c>
      <c r="Y12" s="5">
        <f>$Y$2</f>
        <v>1100</v>
      </c>
      <c r="Z12" s="5">
        <f>$Z$2</f>
        <v>800</v>
      </c>
      <c r="AA12" s="5"/>
      <c r="AB12" s="5"/>
      <c r="AC12" s="5"/>
      <c r="AD12" s="5"/>
      <c r="AE12" s="5">
        <f>$AE$2</f>
        <v>2500</v>
      </c>
      <c r="AF12" s="5">
        <f>$AF$2</f>
        <v>1000</v>
      </c>
      <c r="AG12" s="5"/>
      <c r="AH12" s="5">
        <f>$AH$2</f>
        <v>1000</v>
      </c>
      <c r="AI12" s="5"/>
      <c r="AJ12" s="5">
        <f>$AJ$2</f>
        <v>1800</v>
      </c>
      <c r="AK12" s="5"/>
      <c r="AL12" s="5">
        <f>$AL$2</f>
        <v>1300</v>
      </c>
      <c r="AM12" s="5">
        <f>$AM$2</f>
        <v>509</v>
      </c>
      <c r="AN12" s="5">
        <f>$AN$2</f>
        <v>261</v>
      </c>
      <c r="AO12" s="5">
        <f>$AO$2</f>
        <v>261</v>
      </c>
      <c r="AP12" s="5">
        <f>$AP$2</f>
        <v>261</v>
      </c>
      <c r="AQ12" s="5">
        <f>$AQ$2</f>
        <v>154</v>
      </c>
      <c r="AR12" s="5">
        <f>$AR$2</f>
        <v>154</v>
      </c>
      <c r="AS12" s="5">
        <f>$AS$2</f>
        <v>2700</v>
      </c>
      <c r="AT12" s="5">
        <f>$AT$2</f>
        <v>1500</v>
      </c>
      <c r="AU12" s="5">
        <f>$AU$2</f>
        <v>1200</v>
      </c>
      <c r="AV12" s="5">
        <f>$AV$2</f>
        <v>985</v>
      </c>
      <c r="AW12" s="5">
        <f>$AW$2</f>
        <v>1200</v>
      </c>
      <c r="AX12" s="5">
        <f>$AX$2</f>
        <v>1000</v>
      </c>
      <c r="AY12" s="5">
        <f>$AY$2</f>
        <v>615</v>
      </c>
      <c r="AZ12" s="7"/>
      <c r="BA12" s="7"/>
      <c r="BB12" s="7">
        <f>BB2</f>
        <v>2000</v>
      </c>
    </row>
    <row r="13" s="2" customFormat="1" ht="15.5" spans="1:54">
      <c r="A13" s="4" t="s">
        <v>64</v>
      </c>
      <c r="B13" s="5">
        <f>$B$2</f>
        <v>2300</v>
      </c>
      <c r="C13" s="5"/>
      <c r="D13" s="5">
        <f>$D$2</f>
        <v>4000</v>
      </c>
      <c r="E13" s="5"/>
      <c r="F13" s="5"/>
      <c r="G13" s="5"/>
      <c r="H13" s="5"/>
      <c r="I13" s="5">
        <f>$I$2</f>
        <v>2500</v>
      </c>
      <c r="J13" s="5">
        <f>$J$2</f>
        <v>4500</v>
      </c>
      <c r="K13" s="5">
        <f>$K$2</f>
        <v>0</v>
      </c>
      <c r="L13" s="5">
        <f>$L$2</f>
        <v>0</v>
      </c>
      <c r="M13" s="5"/>
      <c r="N13" s="5">
        <f>$N$2</f>
        <v>1400</v>
      </c>
      <c r="O13" s="5"/>
      <c r="P13" s="5">
        <f>$P$2</f>
        <v>1400</v>
      </c>
      <c r="Q13" s="5"/>
      <c r="R13" s="5"/>
      <c r="S13" s="5">
        <f>$S$2</f>
        <v>0</v>
      </c>
      <c r="T13" s="5">
        <f>$T$2</f>
        <v>0</v>
      </c>
      <c r="U13" s="5">
        <f>$U$2</f>
        <v>0</v>
      </c>
      <c r="V13" s="5">
        <v>4600</v>
      </c>
      <c r="W13" s="5"/>
      <c r="X13" s="5">
        <f>$X$2</f>
        <v>700</v>
      </c>
      <c r="Y13" s="5">
        <f>$Y$2</f>
        <v>1100</v>
      </c>
      <c r="Z13" s="5">
        <f>$Z$2</f>
        <v>800</v>
      </c>
      <c r="AA13" s="5"/>
      <c r="AB13" s="5"/>
      <c r="AC13" s="5"/>
      <c r="AD13" s="5"/>
      <c r="AE13" s="5">
        <f>$AE$2</f>
        <v>2500</v>
      </c>
      <c r="AF13" s="5">
        <f>$AF$2</f>
        <v>1000</v>
      </c>
      <c r="AG13" s="5"/>
      <c r="AH13" s="5">
        <f>$AH$2</f>
        <v>1000</v>
      </c>
      <c r="AI13" s="5"/>
      <c r="AJ13" s="5">
        <f>$AJ$2</f>
        <v>1800</v>
      </c>
      <c r="AK13" s="5"/>
      <c r="AL13" s="5">
        <f>$AL$2</f>
        <v>1300</v>
      </c>
      <c r="AM13" s="5">
        <f>$AM$2</f>
        <v>509</v>
      </c>
      <c r="AN13" s="5">
        <f>$AN$2</f>
        <v>261</v>
      </c>
      <c r="AO13" s="5">
        <f>$AO$2</f>
        <v>261</v>
      </c>
      <c r="AP13" s="5">
        <f>$AP$2</f>
        <v>261</v>
      </c>
      <c r="AQ13" s="5">
        <f>$AQ$2</f>
        <v>154</v>
      </c>
      <c r="AR13" s="5">
        <f>$AR$2</f>
        <v>154</v>
      </c>
      <c r="AS13" s="5">
        <f>$AS$2</f>
        <v>2700</v>
      </c>
      <c r="AT13" s="5">
        <f>$AT$2</f>
        <v>1500</v>
      </c>
      <c r="AU13" s="5">
        <f>$AU$2</f>
        <v>1200</v>
      </c>
      <c r="AV13" s="5">
        <f>$AV$2</f>
        <v>985</v>
      </c>
      <c r="AW13" s="5">
        <f>$AW$2</f>
        <v>1200</v>
      </c>
      <c r="AX13" s="5">
        <f>$AX$2</f>
        <v>1000</v>
      </c>
      <c r="AY13" s="5">
        <f>$AY$2</f>
        <v>615</v>
      </c>
      <c r="AZ13" s="7"/>
      <c r="BA13" s="7"/>
      <c r="BB13" s="7">
        <f>BB2</f>
        <v>2000</v>
      </c>
    </row>
    <row r="14" s="2" customFormat="1" ht="15.5" spans="1:54">
      <c r="A14" s="4" t="s">
        <v>65</v>
      </c>
      <c r="B14" s="5">
        <f>$B$2</f>
        <v>2300</v>
      </c>
      <c r="C14" s="5"/>
      <c r="D14" s="5">
        <f>$D$2</f>
        <v>4000</v>
      </c>
      <c r="E14" s="5"/>
      <c r="F14" s="5"/>
      <c r="G14" s="5"/>
      <c r="H14" s="5"/>
      <c r="I14" s="5">
        <f>$I$2</f>
        <v>2500</v>
      </c>
      <c r="J14" s="5">
        <f>$J$2</f>
        <v>4500</v>
      </c>
      <c r="K14" s="5">
        <f>$K$2</f>
        <v>0</v>
      </c>
      <c r="L14" s="5">
        <f>$L$2</f>
        <v>0</v>
      </c>
      <c r="M14" s="5"/>
      <c r="N14" s="5">
        <f>$N$2</f>
        <v>1400</v>
      </c>
      <c r="O14" s="5"/>
      <c r="P14" s="5">
        <f>$P$2</f>
        <v>1400</v>
      </c>
      <c r="Q14" s="5"/>
      <c r="R14" s="5"/>
      <c r="S14" s="5">
        <f>$S$2</f>
        <v>0</v>
      </c>
      <c r="T14" s="5">
        <f>$T$2</f>
        <v>0</v>
      </c>
      <c r="U14" s="5">
        <f>$U$2</f>
        <v>0</v>
      </c>
      <c r="V14" s="5">
        <v>4600</v>
      </c>
      <c r="W14" s="5"/>
      <c r="X14" s="5">
        <f>$X$2</f>
        <v>700</v>
      </c>
      <c r="Y14" s="5">
        <f>$Y$2</f>
        <v>1100</v>
      </c>
      <c r="Z14" s="5">
        <f>$Z$2</f>
        <v>800</v>
      </c>
      <c r="AA14" s="5"/>
      <c r="AB14" s="5"/>
      <c r="AC14" s="5"/>
      <c r="AD14" s="5"/>
      <c r="AE14" s="5">
        <f>$AE$2</f>
        <v>2500</v>
      </c>
      <c r="AF14" s="5">
        <f>$AF$2</f>
        <v>1000</v>
      </c>
      <c r="AG14" s="5"/>
      <c r="AH14" s="5">
        <f>$AH$2</f>
        <v>1000</v>
      </c>
      <c r="AI14" s="5"/>
      <c r="AJ14" s="5">
        <f>$AJ$2</f>
        <v>1800</v>
      </c>
      <c r="AK14" s="5"/>
      <c r="AL14" s="5">
        <f>$AL$2</f>
        <v>1300</v>
      </c>
      <c r="AM14" s="5">
        <f>$AM$2</f>
        <v>509</v>
      </c>
      <c r="AN14" s="5">
        <f>$AN$2</f>
        <v>261</v>
      </c>
      <c r="AO14" s="5">
        <f>$AO$2</f>
        <v>261</v>
      </c>
      <c r="AP14" s="5">
        <f>$AP$2</f>
        <v>261</v>
      </c>
      <c r="AQ14" s="5">
        <f>$AQ$2</f>
        <v>154</v>
      </c>
      <c r="AR14" s="5">
        <f>$AR$2</f>
        <v>154</v>
      </c>
      <c r="AS14" s="5">
        <f>$AS$2</f>
        <v>2700</v>
      </c>
      <c r="AT14" s="5">
        <f>$AT$2</f>
        <v>1500</v>
      </c>
      <c r="AU14" s="5">
        <f>$AU$2</f>
        <v>1200</v>
      </c>
      <c r="AV14" s="5">
        <f>$AV$2</f>
        <v>985</v>
      </c>
      <c r="AW14" s="5">
        <f>$AW$2</f>
        <v>1200</v>
      </c>
      <c r="AX14" s="5">
        <f>$AX$2</f>
        <v>1000</v>
      </c>
      <c r="AY14" s="5">
        <f>$AY$2</f>
        <v>615</v>
      </c>
      <c r="AZ14" s="7"/>
      <c r="BA14" s="7"/>
      <c r="BB14" s="7">
        <f>BB2</f>
        <v>2000</v>
      </c>
    </row>
    <row r="15" s="2" customFormat="1" ht="15.5" spans="1:54">
      <c r="A15" s="4" t="s">
        <v>66</v>
      </c>
      <c r="B15" s="5">
        <f>$B$2</f>
        <v>2300</v>
      </c>
      <c r="C15" s="5"/>
      <c r="D15" s="5">
        <f>$D$2</f>
        <v>4000</v>
      </c>
      <c r="E15" s="5"/>
      <c r="F15" s="5"/>
      <c r="G15" s="5"/>
      <c r="H15" s="5"/>
      <c r="I15" s="5">
        <f>$I$2</f>
        <v>2500</v>
      </c>
      <c r="J15" s="5">
        <f>$J$2</f>
        <v>4500</v>
      </c>
      <c r="K15" s="5">
        <f>$K$2</f>
        <v>0</v>
      </c>
      <c r="L15" s="5">
        <f>$L$2</f>
        <v>0</v>
      </c>
      <c r="M15" s="5"/>
      <c r="N15" s="5">
        <f>$N$2</f>
        <v>1400</v>
      </c>
      <c r="O15" s="5"/>
      <c r="P15" s="5">
        <f>$P$2</f>
        <v>1400</v>
      </c>
      <c r="Q15" s="5"/>
      <c r="R15" s="5"/>
      <c r="S15" s="5">
        <f>$S$2</f>
        <v>0</v>
      </c>
      <c r="T15" s="5">
        <f>T4</f>
        <v>0</v>
      </c>
      <c r="U15" s="5">
        <f>$U$2</f>
        <v>0</v>
      </c>
      <c r="V15" s="5">
        <v>4600</v>
      </c>
      <c r="W15" s="5"/>
      <c r="X15" s="5">
        <f>$X$2</f>
        <v>700</v>
      </c>
      <c r="Y15" s="5">
        <f>$Y$2</f>
        <v>1100</v>
      </c>
      <c r="Z15" s="5">
        <f>$Z$2</f>
        <v>800</v>
      </c>
      <c r="AA15" s="5"/>
      <c r="AB15" s="5"/>
      <c r="AC15" s="5"/>
      <c r="AD15" s="5"/>
      <c r="AE15" s="5">
        <f>$AE$2</f>
        <v>2500</v>
      </c>
      <c r="AF15" s="5">
        <f>$AF$2</f>
        <v>1000</v>
      </c>
      <c r="AG15" s="5"/>
      <c r="AH15" s="5">
        <f>$AH$2</f>
        <v>1000</v>
      </c>
      <c r="AI15" s="5"/>
      <c r="AJ15" s="5"/>
      <c r="AK15" s="5"/>
      <c r="AL15" s="5">
        <f>$AL$2</f>
        <v>1300</v>
      </c>
      <c r="AM15" s="5">
        <f>$AM$2</f>
        <v>509</v>
      </c>
      <c r="AN15" s="5">
        <f>$AN$2</f>
        <v>261</v>
      </c>
      <c r="AO15" s="5">
        <f>$AO$2</f>
        <v>261</v>
      </c>
      <c r="AP15" s="5">
        <f>$AP$2</f>
        <v>261</v>
      </c>
      <c r="AQ15" s="5">
        <f>$AQ$2</f>
        <v>154</v>
      </c>
      <c r="AR15" s="5">
        <f>$AR$2</f>
        <v>154</v>
      </c>
      <c r="AS15" s="5">
        <f>$AS$2</f>
        <v>2700</v>
      </c>
      <c r="AT15" s="5">
        <f>$AT$2</f>
        <v>1500</v>
      </c>
      <c r="AU15" s="5">
        <f>$AU$2</f>
        <v>1200</v>
      </c>
      <c r="AV15" s="5">
        <f>$AV$2</f>
        <v>985</v>
      </c>
      <c r="AW15" s="5">
        <f>$AW$2</f>
        <v>1200</v>
      </c>
      <c r="AX15" s="5">
        <f>$AX$2</f>
        <v>1000</v>
      </c>
      <c r="AY15" s="5">
        <f>$AY$2</f>
        <v>615</v>
      </c>
      <c r="AZ15" s="7"/>
      <c r="BA15" s="7"/>
      <c r="BB15" s="7">
        <f>BB2*0.8</f>
        <v>1600</v>
      </c>
    </row>
    <row r="16" s="2" customFormat="1" ht="15.5" spans="1:54">
      <c r="A16" s="4" t="s">
        <v>67</v>
      </c>
      <c r="B16" s="5">
        <v>4600</v>
      </c>
      <c r="C16" s="5"/>
      <c r="D16" s="5">
        <v>8000</v>
      </c>
      <c r="E16" s="5"/>
      <c r="F16" s="5"/>
      <c r="G16" s="5"/>
      <c r="H16" s="5"/>
      <c r="I16" s="5">
        <v>5000</v>
      </c>
      <c r="J16" s="5">
        <v>9000</v>
      </c>
      <c r="K16" s="5">
        <f>$K$2</f>
        <v>0</v>
      </c>
      <c r="L16" s="5">
        <f>$L$2</f>
        <v>0</v>
      </c>
      <c r="M16" s="5"/>
      <c r="N16" s="5">
        <v>2100</v>
      </c>
      <c r="O16" s="5"/>
      <c r="P16" s="5">
        <v>2100</v>
      </c>
      <c r="Q16" s="5"/>
      <c r="R16" s="5"/>
      <c r="S16" s="5">
        <f>$S$2</f>
        <v>0</v>
      </c>
      <c r="T16" s="5">
        <f>T4</f>
        <v>0</v>
      </c>
      <c r="U16" s="5"/>
      <c r="V16" s="5">
        <v>4600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f>$AH$2</f>
        <v>1000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7"/>
      <c r="AT16" s="7"/>
      <c r="AU16" s="7"/>
      <c r="AV16" s="7"/>
      <c r="AW16" s="7"/>
      <c r="AX16" s="7"/>
      <c r="AY16" s="7"/>
      <c r="AZ16" s="7"/>
      <c r="BA16" s="7"/>
      <c r="BB16" s="7">
        <f>BB2</f>
        <v>2000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lyvtruong</dc:creator>
  <cp:lastModifiedBy>lyvtruong</cp:lastModifiedBy>
  <dcterms:created xsi:type="dcterms:W3CDTF">2025-07-23T13:47:32Z</dcterms:created>
  <dcterms:modified xsi:type="dcterms:W3CDTF">2025-07-23T13:48:13Z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7AFF08F321114226A12AC86A0C6AE236_11</vt:lpwstr>
  </property>
  <property fmtid="{D5CDD505-2E9C-101B-9397-08002B2CF9AE}" pid="3" name="KSOProductBuildVer">
    <vt:lpwstr>1033-12.2.0.21931</vt:lpwstr>
  </property>
</Properties>
</file>