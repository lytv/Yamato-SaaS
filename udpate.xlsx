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S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</commentList>
</comments>
</file>

<file path=xl/sharedStrings.xml><?xml version="1.0" encoding="utf-8"?>
<sst xmlns="http://schemas.openxmlformats.org/spreadsheetml/2006/main" count="54" uniqueCount="54">
  <si>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</si>
  <si>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</si>
  <si>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</si>
  <si>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</si>
  <si>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</si>
  <si>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</si>
  <si>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</si>
  <si>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</si>
  <si>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</si>
  <si>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</si>
  <si>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</si>
  <si>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</si>
  <si>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</si>
  <si>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</si>
  <si>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</si>
  <si>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</si>
  <si>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</si>
  <si>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</si>
  <si>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</si>
  <si>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</si>
  <si>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</si>
  <si>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</si>
  <si>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</si>
  <si>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</si>
  <si>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</si>
  <si>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</si>
  <si>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</si>
  <si>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</si>
  <si>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</si>
  <si>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</si>
  <si>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</si>
  <si>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</si>
  <si>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</si>
  <si>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</si>
  <si>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CD45</t>
  </si>
  <si>
    <t>CD46</t>
  </si>
  <si>
    <t>CD47</t>
  </si>
  <si>
    <t>CD48</t>
  </si>
  <si>
    <t>CD49</t>
  </si>
  <si>
    <t>CD50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</si>
  <si>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</si>
  <si>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</si>
  <si>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</si>
  <si>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</si>
  <si>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</si>
  <si>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</si>
  <si>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</si>
  <si>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</si>
  <si>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</si>
  <si>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</si>
  <si>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</si>
  <si>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</si>
  <si>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</si>
  <si>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17B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</si>
</sst>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29">
    <font>
      <sz val="11"/>
      <color theme="1"/>
      <name val="Calibri"/>
      <charset val="134"/>
      <scheme val="minor"/>
    </font>
    <font>
      <b/>
      <sz val="11"/>
      <color rgb="FFFF0000"/>
      <name val="Times New Roman"/>
      <charset val="134"/>
    </font>
    <font>
      <b/>
      <sz val="11"/>
      <color theme="9" tint="-0.499984740745262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b/>
      <sz val="10"/>
      <color rgb="FFFF0000"/>
      <name val="Times New Roman"/>
      <charset val="134"/>
    </font>
    <font>
      <sz val="10.5"/>
      <color rgb="FF111827"/>
      <name val="Arial"/>
      <charset val="134"/>
    </font>
    <font>
      <b/>
      <sz val="1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8" fontId="7" fillId="3" borderId="1" xfId="1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0" fontId="3" fillId="3" borderId="1" xfId="0" applyFont="1" applyFill="1" applyBorder="1" applyAlignment="1">
      <alignment horizontal="center"/>
    </xf>
    <xf numFmtId="178" fontId="5" fillId="3" borderId="1" xfId="1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78" fontId="7" fillId="3" borderId="2" xfId="1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%20PH&#431;&#416;NG\L&#431;&#416;NG20161111\LUONG%20NOI%20BO\L&#432;&#417;ng%202024\Th&#225;ng%205\&#272;&#416;N%20GI&#193;%20M&#7898;I%20-%20X&#431;&#7902;NG%201-%20NG&#192;Y%203.7.2023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ÁI THỦY"/>
      <sheetName val="LIỄU A"/>
      <sheetName val="VINH"/>
      <sheetName val="C.THỦY"/>
      <sheetName val="MINH"/>
      <sheetName val="NGHĨA"/>
      <sheetName val="LIỂU B"/>
      <sheetName val="ẨN"/>
      <sheetName val="K THÚY"/>
      <sheetName val="LƯƠNG SP CHUYỀN 2"/>
      <sheetName val="VỆ TINH TÝ "/>
      <sheetName val="VỆ TINH HƯỜNG"/>
      <sheetName val="VỆ TINH NGUYÊN"/>
      <sheetName val="VT DƯƠNG NGHĨA"/>
      <sheetName val="VT GIANG"/>
      <sheetName val="VT BÌNH"/>
      <sheetName val="LƯƠNG SP VỆ TINH"/>
      <sheetName val="tổng tiên vệtinh"/>
      <sheetName val="ĐG- XƯỞNG 1"/>
      <sheetName val="ĐG- VETINH - 1"/>
      <sheetName val="ĐG- VTINH- THAY ĐỔI"/>
      <sheetName val="VT- THÁ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A5">
            <v>350</v>
          </cell>
          <cell r="AB5">
            <v>550</v>
          </cell>
          <cell r="AC5">
            <v>600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2"/>
  <sheetViews>
    <sheetView tabSelected="1" workbookViewId="0">
      <selection activeCell="F3" sqref="F3"/>
    </sheetView>
  </sheetViews>
  <sheetFormatPr defaultColWidth="9.13636363636364" defaultRowHeight="14"/>
  <cols>
    <col min="1" max="1" width="9.13636363636364" style="3"/>
    <col min="2" max="10" width="8.85454545454546" style="4" customWidth="1"/>
    <col min="11" max="11" width="8.85454545454546" style="5" customWidth="1"/>
    <col min="12" max="13" width="8.85454545454546" style="4" customWidth="1"/>
    <col min="14" max="14" width="10.7090909090909" style="3" customWidth="1"/>
    <col min="15" max="15" width="9" style="3" customWidth="1"/>
    <col min="16" max="34" width="8.85454545454546" style="3" customWidth="1"/>
    <col min="35" max="37" width="11.2818181818182" style="3" customWidth="1"/>
    <col min="38" max="46" width="9.28181818181818" style="3" customWidth="1"/>
    <col min="47" max="60" width="11.2818181818182" style="3" customWidth="1"/>
    <col min="61" max="61" width="9.13636363636364" style="3" customWidth="1"/>
    <col min="62" max="16381" width="9.13636363636364" style="3"/>
    <col min="16382" max="16384" width="9.13636363636364" style="6"/>
  </cols>
  <sheetData>
    <row r="1" s="1" customFormat="1" ht="14.25" customHeight="1" spans="2:60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>
        <v>70</v>
      </c>
      <c r="BD1" s="7">
        <v>71</v>
      </c>
      <c r="BE1" s="7">
        <v>72</v>
      </c>
      <c r="BF1" s="7">
        <v>73</v>
      </c>
      <c r="BG1" s="7">
        <v>74</v>
      </c>
      <c r="BH1" s="7">
        <v>75</v>
      </c>
    </row>
    <row r="2" s="2" customFormat="1" spans="1:60">
      <c r="A2" s="8" t="s">
        <v>53</v>
      </c>
      <c r="B2" s="9">
        <v>2300</v>
      </c>
      <c r="C2" s="9"/>
      <c r="D2" s="9">
        <v>4000</v>
      </c>
      <c r="E2" s="9"/>
      <c r="F2" s="9"/>
      <c r="G2" s="9"/>
      <c r="H2" s="9"/>
      <c r="I2" s="9">
        <v>2500</v>
      </c>
      <c r="J2" s="9">
        <v>4500</v>
      </c>
      <c r="K2" s="9"/>
      <c r="L2" s="9"/>
      <c r="M2" s="9"/>
      <c r="N2" s="9">
        <v>1400</v>
      </c>
      <c r="O2" s="9"/>
      <c r="P2" s="9">
        <v>1400</v>
      </c>
      <c r="Q2" s="9"/>
      <c r="R2" s="9"/>
      <c r="S2" s="9"/>
      <c r="T2" s="9"/>
      <c r="U2" s="9"/>
      <c r="V2" s="9">
        <v>4600</v>
      </c>
      <c r="W2" s="9"/>
      <c r="X2" s="9">
        <f>'[1]ĐG- XƯỞNG 1'!AA5*2</f>
        <v>700</v>
      </c>
      <c r="Y2" s="9">
        <f>'[1]ĐG- XƯỞNG 1'!AB5*2</f>
        <v>1100</v>
      </c>
      <c r="Z2" s="9">
        <f>'[1]ĐG- XƯỞNG 1'!AC5+200</f>
        <v>800</v>
      </c>
      <c r="AA2" s="9"/>
      <c r="AB2" s="9"/>
      <c r="AC2" s="9"/>
      <c r="AD2" s="9"/>
      <c r="AE2" s="9">
        <v>2500</v>
      </c>
      <c r="AF2" s="9">
        <v>1000</v>
      </c>
      <c r="AG2" s="9">
        <v>15</v>
      </c>
      <c r="AH2" s="9">
        <v>1000</v>
      </c>
      <c r="AI2" s="9">
        <v>16</v>
      </c>
      <c r="AJ2" s="9">
        <v>1800</v>
      </c>
      <c r="AK2" s="9"/>
      <c r="AL2" s="9">
        <v>1300</v>
      </c>
      <c r="AM2" s="9">
        <f>471-50+88</f>
        <v>509</v>
      </c>
      <c r="AN2" s="9">
        <f t="shared" ref="AN2:AP2" si="0">311-50</f>
        <v>261</v>
      </c>
      <c r="AO2" s="9">
        <f t="shared" si="0"/>
        <v>261</v>
      </c>
      <c r="AP2" s="9">
        <f t="shared" si="0"/>
        <v>261</v>
      </c>
      <c r="AQ2" s="9">
        <f>204-50</f>
        <v>154</v>
      </c>
      <c r="AR2" s="9">
        <f>204-50</f>
        <v>154</v>
      </c>
      <c r="AS2" s="15">
        <v>2700</v>
      </c>
      <c r="AT2" s="15">
        <v>1500</v>
      </c>
      <c r="AU2" s="15">
        <v>1200</v>
      </c>
      <c r="AV2" s="15">
        <v>985</v>
      </c>
      <c r="AW2" s="15">
        <v>1200</v>
      </c>
      <c r="AX2" s="15">
        <v>1000</v>
      </c>
      <c r="AY2" s="15">
        <v>615</v>
      </c>
      <c r="AZ2" s="15"/>
      <c r="BA2" s="15"/>
      <c r="BB2" s="15">
        <v>2000</v>
      </c>
      <c r="BC2" s="15"/>
      <c r="BD2" s="15"/>
      <c r="BE2" s="15"/>
      <c r="BF2" s="15"/>
      <c r="BG2" s="15"/>
      <c r="BH2" s="9"/>
    </row>
    <row r="3" s="2" customFormat="1" spans="1:60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2"/>
      <c r="O3" s="12"/>
      <c r="P3" s="12"/>
      <c r="Q3" s="12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</row>
    <row r="4" s="3" customFormat="1" spans="2:60">
      <c r="B4" s="11"/>
      <c r="C4" s="11"/>
      <c r="D4" s="11"/>
      <c r="E4" s="11"/>
      <c r="F4" s="11"/>
      <c r="G4" s="11"/>
      <c r="H4" s="11"/>
      <c r="I4" s="11"/>
      <c r="J4" s="11"/>
      <c r="K4" s="13"/>
      <c r="L4" s="11"/>
      <c r="M4" s="1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</row>
    <row r="5" s="3" customFormat="1" spans="2:60">
      <c r="B5" s="11"/>
      <c r="C5" s="11"/>
      <c r="D5" s="11"/>
      <c r="E5" s="11"/>
      <c r="F5" s="11"/>
      <c r="G5" s="11"/>
      <c r="H5" s="11"/>
      <c r="I5" s="11"/>
      <c r="J5" s="11"/>
      <c r="K5" s="13"/>
      <c r="L5" s="11"/>
      <c r="M5" s="11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</row>
    <row r="6" s="3" customFormat="1" spans="2:60">
      <c r="B6" s="11"/>
      <c r="C6" s="11"/>
      <c r="D6" s="11"/>
      <c r="E6" s="11"/>
      <c r="F6" s="11"/>
      <c r="G6" s="11"/>
      <c r="H6" s="11"/>
      <c r="I6" s="11"/>
      <c r="J6" s="11"/>
      <c r="K6" s="13"/>
      <c r="L6" s="11"/>
      <c r="M6" s="1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</row>
    <row r="7" s="3" customFormat="1" spans="2:60">
      <c r="B7" s="11"/>
      <c r="C7" s="11"/>
      <c r="D7" s="11"/>
      <c r="E7" s="11"/>
      <c r="F7" s="11"/>
      <c r="G7" s="11"/>
      <c r="H7" s="11"/>
      <c r="I7" s="11"/>
      <c r="J7" s="11"/>
      <c r="K7" s="13"/>
      <c r="L7" s="11"/>
      <c r="M7" s="11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</row>
    <row r="8" s="3" customFormat="1" spans="2:60">
      <c r="B8" s="11"/>
      <c r="C8" s="11"/>
      <c r="D8" s="11"/>
      <c r="E8" s="11"/>
      <c r="F8" s="11"/>
      <c r="G8" s="11"/>
      <c r="H8" s="11"/>
      <c r="I8" s="11"/>
      <c r="J8" s="11"/>
      <c r="K8" s="13"/>
      <c r="L8" s="11"/>
      <c r="M8" s="1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</row>
    <row r="9" s="3" customFormat="1" spans="2:60">
      <c r="B9" s="11"/>
      <c r="C9" s="11"/>
      <c r="D9" s="11"/>
      <c r="E9" s="11"/>
      <c r="F9" s="11"/>
      <c r="G9" s="11"/>
      <c r="H9" s="11"/>
      <c r="I9" s="11"/>
      <c r="J9" s="11"/>
      <c r="K9" s="13"/>
      <c r="L9" s="11"/>
      <c r="M9" s="11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</row>
    <row r="10" s="3" customFormat="1" spans="2:60">
      <c r="B10" s="11"/>
      <c r="C10" s="11"/>
      <c r="D10" s="11"/>
      <c r="E10" s="11"/>
      <c r="F10" s="11"/>
      <c r="G10" s="11"/>
      <c r="H10" s="11"/>
      <c r="I10" s="11"/>
      <c r="J10" s="11"/>
      <c r="K10" s="13"/>
      <c r="L10" s="11"/>
      <c r="M10" s="11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</row>
    <row r="11" s="3" customFormat="1" spans="2:60">
      <c r="B11" s="11"/>
      <c r="C11" s="11"/>
      <c r="D11" s="11"/>
      <c r="E11" s="11"/>
      <c r="F11" s="11"/>
      <c r="G11" s="11"/>
      <c r="H11" s="11"/>
      <c r="I11" s="11"/>
      <c r="J11" s="11"/>
      <c r="K11" s="13"/>
      <c r="L11" s="11"/>
      <c r="M11" s="11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</row>
    <row r="12" s="3" customForma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lyvtruong</dc:creator>
  <cp:lastModifiedBy>lyvtruong</cp:lastModifiedBy>
  <dcterms:created xsi:type="dcterms:W3CDTF">2025-07-23T07:51:00Z</dcterms:created>
  <dcterms:modified xsi:type="dcterms:W3CDTF">2025-07-24T05:17:53Z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E177699718B84003AC730AA30A8409EE_11</vt:lpwstr>
  </property>
  <property fmtid="{D5CDD505-2E9C-101B-9397-08002B2CF9AE}" pid="3" name="KSOProductBuildVer">
    <vt:lpwstr>1033-12.2.0.21931</vt:lpwstr>
  </property>
</Properties>
</file>